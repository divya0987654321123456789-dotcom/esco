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kioledlighting99-my.sharepoint.com/personal/ashk_ikioledlighting_com/Documents/AshK/Lions Park Ballfields Lighting, KS/"/>
    </mc:Choice>
  </mc:AlternateContent>
  <xr:revisionPtr revIDLastSave="453" documentId="11_F25DC773A252ABDACC10481049DE5C885BDE58E7" xr6:coauthVersionLast="47" xr6:coauthVersionMax="47" xr10:uidLastSave="{23510624-FD4F-4406-B43E-F2D6B173D226}"/>
  <bookViews>
    <workbookView xWindow="-110" yWindow="-110" windowWidth="19420" windowHeight="11500" xr2:uid="{00000000-000D-0000-FFFF-FFFF00000000}"/>
  </bookViews>
  <sheets>
    <sheet name="Wor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F5" i="1"/>
  <c r="L21" i="1"/>
  <c r="L4" i="1"/>
  <c r="E4" i="1"/>
  <c r="E11" i="1"/>
  <c r="E21" i="1"/>
  <c r="L15" i="1"/>
  <c r="L16" i="1"/>
  <c r="L17" i="1"/>
  <c r="L18" i="1"/>
  <c r="L19" i="1"/>
  <c r="L20" i="1"/>
  <c r="L14" i="1"/>
  <c r="L3" i="1"/>
  <c r="L2" i="1"/>
  <c r="E15" i="1"/>
  <c r="E16" i="1"/>
  <c r="E17" i="1"/>
  <c r="E18" i="1"/>
  <c r="E19" i="1"/>
  <c r="E20" i="1"/>
  <c r="E14" i="1"/>
  <c r="E7" i="1"/>
  <c r="E8" i="1"/>
  <c r="E9" i="1"/>
  <c r="E10" i="1"/>
  <c r="E6" i="1"/>
  <c r="E3" i="1"/>
  <c r="E2" i="1"/>
</calcChain>
</file>

<file path=xl/sharedStrings.xml><?xml version="1.0" encoding="utf-8"?>
<sst xmlns="http://schemas.openxmlformats.org/spreadsheetml/2006/main" count="74" uniqueCount="22">
  <si>
    <t>Description</t>
  </si>
  <si>
    <t>Qty.</t>
  </si>
  <si>
    <t>SP</t>
  </si>
  <si>
    <t>Total</t>
  </si>
  <si>
    <t>Remarks</t>
  </si>
  <si>
    <t>Baseball Field</t>
  </si>
  <si>
    <t>Cross Arm 5</t>
  </si>
  <si>
    <t>IK-SP06B-12001000750W-E1PS3MV-50K-BL-SH-20SP-FM</t>
  </si>
  <si>
    <t>Cross Arm 3</t>
  </si>
  <si>
    <t>Cross Arm 2</t>
  </si>
  <si>
    <t>50ft Pole</t>
  </si>
  <si>
    <t>Junction Box (6 Driver)</t>
  </si>
  <si>
    <t>Softball Field</t>
  </si>
  <si>
    <t>Fields 1</t>
  </si>
  <si>
    <t>Fields 3</t>
  </si>
  <si>
    <t>DC Wire</t>
  </si>
  <si>
    <t>Optional</t>
  </si>
  <si>
    <t>Synapse On/Off</t>
  </si>
  <si>
    <t>Synapse Dynamic Behaviour</t>
  </si>
  <si>
    <t>700*38</t>
  </si>
  <si>
    <t>20*700</t>
  </si>
  <si>
    <t>6*16000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</si>
</sst>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;[Red][$$-409]#,##0.00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" fillId="2" borderId="12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5" fontId="3" fillId="4" borderId="10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5" borderId="0" xfId="0" applyNumberFormat="1" applyFill="1"/>
    <xf numFmtId="164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1305278</xdr:colOff>
      <xdr:row>25</xdr:row>
      <xdr:rowOff>164703</xdr:rowOff>
    </xdr:from>
    <xdr:to>
      <xdr:col>8</xdr:col>
      <xdr:colOff>3093861</xdr:colOff>
      <xdr:row>52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E612-A59A-4D91-E03D-3A04F09DC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4306" y="7934634"/>
          <a:ext cx="9681986" cy="4893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56" zoomScaleNormal="100" workbookViewId="0">
      <selection activeCell="Q14" sqref="Q14"/>
    </sheetView>
  </sheetViews>
  <sheetFormatPr defaultRowHeight="14.5" x14ac:dyDescent="0.35"/>
  <cols>
    <col min="1" max="1" width="11.81640625" style="18" bestFit="1" customWidth="1"/>
    <col min="2" max="2" width="50.81640625" style="18" bestFit="1" customWidth="1"/>
    <col min="3" max="3" width="5.1796875" style="18" bestFit="1" customWidth="1"/>
    <col min="4" max="4" width="10.453125" style="19" bestFit="1" customWidth="1"/>
    <col min="5" max="5" width="14.453125" style="19" bestFit="1" customWidth="1"/>
    <col min="6" max="6" width="11.08984375" style="18" bestFit="1" customWidth="1"/>
    <col min="8" max="8" width="12.36328125" bestFit="1" customWidth="1"/>
    <col min="9" max="9" width="50" bestFit="1" customWidth="1"/>
    <col min="10" max="10" width="5.36328125" bestFit="1" customWidth="1"/>
    <col min="11" max="11" width="10.54296875" bestFit="1" customWidth="1"/>
    <col min="12" max="12" width="15.453125" bestFit="1" customWidth="1"/>
    <col min="13" max="13" width="8.36328125" bestFit="1" customWidth="1"/>
  </cols>
  <sheetData>
    <row r="1" spans="1:13" ht="15" thickBot="1" x14ac:dyDescent="0.4">
      <c r="A1" s="20" t="s">
        <v>13</v>
      </c>
      <c r="B1" s="21" t="s">
        <v>0</v>
      </c>
      <c r="C1" s="13" t="s">
        <v>1</v>
      </c>
      <c r="D1" s="12" t="s">
        <v>2</v>
      </c>
      <c r="E1" s="12" t="s">
        <v>3</v>
      </c>
      <c r="F1" s="22" t="s">
        <v>4</v>
      </c>
      <c r="H1" s="20" t="s">
        <v>13</v>
      </c>
      <c r="I1" s="21" t="s">
        <v>0</v>
      </c>
      <c r="J1" s="13" t="s">
        <v>1</v>
      </c>
      <c r="K1" s="12" t="s">
        <v>2</v>
      </c>
      <c r="L1" s="12" t="s">
        <v>3</v>
      </c>
      <c r="M1" s="22" t="s">
        <v>4</v>
      </c>
    </row>
    <row r="2" spans="1:13" ht="32.4" customHeight="1" x14ac:dyDescent="0.35">
      <c r="A2" s="14" t="s">
        <v>5</v>
      </c>
      <c r="B2" s="15" t="s">
        <v>7</v>
      </c>
      <c r="C2" s="15">
        <v>38</v>
      </c>
      <c r="D2" s="24">
        <v>1100</v>
      </c>
      <c r="E2" s="24">
        <f>D2*C2</f>
        <v>41800</v>
      </c>
      <c r="F2" s="16"/>
      <c r="H2" s="14" t="s">
        <v>5</v>
      </c>
      <c r="I2" s="15" t="s">
        <v>7</v>
      </c>
      <c r="J2" s="15">
        <v>38</v>
      </c>
      <c r="K2" s="24">
        <v>1100</v>
      </c>
      <c r="L2" s="24">
        <f>J2*K2</f>
        <v>41800</v>
      </c>
      <c r="M2" s="26"/>
    </row>
    <row r="3" spans="1:13" ht="32.4" customHeight="1" thickBot="1" x14ac:dyDescent="0.4">
      <c r="A3" s="5" t="s">
        <v>5</v>
      </c>
      <c r="B3" s="6" t="s">
        <v>17</v>
      </c>
      <c r="C3" s="6">
        <v>38</v>
      </c>
      <c r="D3" s="23">
        <v>266.56842105263161</v>
      </c>
      <c r="E3" s="23">
        <f>D3*C3</f>
        <v>10129.6</v>
      </c>
      <c r="F3" s="7"/>
      <c r="H3" s="5" t="s">
        <v>5</v>
      </c>
      <c r="I3" s="6" t="s">
        <v>18</v>
      </c>
      <c r="J3" s="6">
        <v>38</v>
      </c>
      <c r="K3" s="23">
        <v>451.30526315789473</v>
      </c>
      <c r="L3" s="23">
        <f>J3*K3</f>
        <v>17149.599999999999</v>
      </c>
      <c r="M3" s="27"/>
    </row>
    <row r="4" spans="1:13" ht="14.5" customHeight="1" thickBot="1" x14ac:dyDescent="0.4">
      <c r="A4"/>
      <c r="B4"/>
      <c r="C4"/>
      <c r="D4"/>
      <c r="E4" s="25">
        <f>SUM(E2:E3)</f>
        <v>51929.599999999999</v>
      </c>
      <c r="F4"/>
      <c r="K4" s="11"/>
      <c r="L4" s="25">
        <f>SUM(L2:L3)</f>
        <v>58949.599999999999</v>
      </c>
    </row>
    <row r="5" spans="1:13" ht="15.65" customHeight="1" thickBot="1" x14ac:dyDescent="0.4">
      <c r="A5"/>
      <c r="B5"/>
      <c r="C5"/>
      <c r="D5" t="s">
        <v>19</v>
      </c>
      <c r="E5">
        <v>26600</v>
      </c>
      <c r="F5" s="33">
        <f>SUM(E4:E5)</f>
        <v>78529.600000000006</v>
      </c>
    </row>
    <row r="6" spans="1:13" ht="32.4" customHeight="1" x14ac:dyDescent="0.35">
      <c r="A6" s="14" t="s">
        <v>5</v>
      </c>
      <c r="B6" s="15" t="s">
        <v>9</v>
      </c>
      <c r="C6" s="15">
        <v>2</v>
      </c>
      <c r="D6" s="24">
        <v>420</v>
      </c>
      <c r="E6" s="24">
        <f>C6*D6</f>
        <v>840</v>
      </c>
      <c r="F6" s="30" t="s">
        <v>16</v>
      </c>
    </row>
    <row r="7" spans="1:13" ht="32.4" customHeight="1" x14ac:dyDescent="0.35">
      <c r="A7" s="4" t="s">
        <v>5</v>
      </c>
      <c r="B7" s="1" t="s">
        <v>8</v>
      </c>
      <c r="C7" s="1">
        <v>8</v>
      </c>
      <c r="D7" s="10">
        <v>489.99999999999994</v>
      </c>
      <c r="E7" s="10">
        <f t="shared" ref="E7:E10" si="0">C7*D7</f>
        <v>3919.9999999999995</v>
      </c>
      <c r="F7" s="31"/>
    </row>
    <row r="8" spans="1:13" ht="32.4" customHeight="1" x14ac:dyDescent="0.35">
      <c r="A8" s="4" t="s">
        <v>5</v>
      </c>
      <c r="B8" s="1" t="s">
        <v>6</v>
      </c>
      <c r="C8" s="1">
        <v>2</v>
      </c>
      <c r="D8" s="10">
        <v>778.4</v>
      </c>
      <c r="E8" s="10">
        <f t="shared" si="0"/>
        <v>1556.8</v>
      </c>
      <c r="F8" s="31"/>
    </row>
    <row r="9" spans="1:13" ht="32.4" customHeight="1" x14ac:dyDescent="0.35">
      <c r="A9" s="4" t="s">
        <v>5</v>
      </c>
      <c r="B9" s="1" t="s">
        <v>11</v>
      </c>
      <c r="C9" s="1">
        <v>12</v>
      </c>
      <c r="D9" s="10">
        <v>2100</v>
      </c>
      <c r="E9" s="10">
        <f t="shared" si="0"/>
        <v>25200</v>
      </c>
      <c r="F9" s="31"/>
    </row>
    <row r="10" spans="1:13" ht="32.4" customHeight="1" thickBot="1" x14ac:dyDescent="0.4">
      <c r="A10" s="5" t="s">
        <v>5</v>
      </c>
      <c r="B10" s="6" t="s">
        <v>15</v>
      </c>
      <c r="C10" s="6">
        <v>1900</v>
      </c>
      <c r="D10" s="23">
        <v>1.8</v>
      </c>
      <c r="E10" s="23">
        <f t="shared" si="0"/>
        <v>3420</v>
      </c>
      <c r="F10" s="32"/>
    </row>
    <row r="11" spans="1:13" ht="15" thickBot="1" x14ac:dyDescent="0.4">
      <c r="A11" s="8"/>
      <c r="B11" s="8"/>
      <c r="C11" s="8"/>
      <c r="D11" s="9"/>
      <c r="E11" s="17">
        <f>SUM(E6:E10)</f>
        <v>34936.800000000003</v>
      </c>
      <c r="F11" s="8"/>
    </row>
    <row r="12" spans="1:13" ht="15" thickBot="1" x14ac:dyDescent="0.4"/>
    <row r="13" spans="1:13" ht="15" thickBot="1" x14ac:dyDescent="0.4">
      <c r="A13" s="20" t="s">
        <v>14</v>
      </c>
      <c r="B13" s="21" t="s">
        <v>0</v>
      </c>
      <c r="C13" s="13" t="s">
        <v>1</v>
      </c>
      <c r="D13" s="12" t="s">
        <v>2</v>
      </c>
      <c r="E13" s="12" t="s">
        <v>3</v>
      </c>
      <c r="F13" s="22" t="s">
        <v>4</v>
      </c>
      <c r="H13" s="20" t="s">
        <v>14</v>
      </c>
      <c r="I13" s="21" t="s">
        <v>0</v>
      </c>
      <c r="J13" s="13" t="s">
        <v>1</v>
      </c>
      <c r="K13" s="12" t="s">
        <v>2</v>
      </c>
      <c r="L13" s="12" t="s">
        <v>3</v>
      </c>
      <c r="M13" s="22" t="s">
        <v>4</v>
      </c>
    </row>
    <row r="14" spans="1:13" ht="32.4" customHeight="1" x14ac:dyDescent="0.35">
      <c r="A14" s="14" t="s">
        <v>12</v>
      </c>
      <c r="B14" s="15" t="s">
        <v>7</v>
      </c>
      <c r="C14" s="15">
        <v>20</v>
      </c>
      <c r="D14" s="24">
        <v>1100</v>
      </c>
      <c r="E14" s="24">
        <f>C14*D14</f>
        <v>22000</v>
      </c>
      <c r="F14" s="16"/>
      <c r="H14" s="14" t="s">
        <v>12</v>
      </c>
      <c r="I14" s="15" t="s">
        <v>7</v>
      </c>
      <c r="J14" s="15">
        <v>20</v>
      </c>
      <c r="K14" s="24">
        <v>1100</v>
      </c>
      <c r="L14" s="24">
        <f>J14*K14</f>
        <v>22000</v>
      </c>
      <c r="M14" s="26"/>
    </row>
    <row r="15" spans="1:13" ht="32.4" customHeight="1" x14ac:dyDescent="0.35">
      <c r="A15" s="4" t="s">
        <v>12</v>
      </c>
      <c r="B15" s="1" t="s">
        <v>10</v>
      </c>
      <c r="C15" s="1">
        <v>6</v>
      </c>
      <c r="D15" s="10">
        <v>8260</v>
      </c>
      <c r="E15" s="10">
        <f t="shared" ref="E15:E20" si="1">C15*D15</f>
        <v>49560</v>
      </c>
      <c r="F15" s="2"/>
      <c r="H15" s="4" t="s">
        <v>12</v>
      </c>
      <c r="I15" s="1" t="s">
        <v>10</v>
      </c>
      <c r="J15" s="1">
        <v>6</v>
      </c>
      <c r="K15" s="10">
        <v>8260</v>
      </c>
      <c r="L15" s="10">
        <f t="shared" ref="L15:L20" si="2">J15*K15</f>
        <v>49560</v>
      </c>
      <c r="M15" s="28"/>
    </row>
    <row r="16" spans="1:13" ht="32.4" customHeight="1" x14ac:dyDescent="0.35">
      <c r="A16" s="4" t="s">
        <v>12</v>
      </c>
      <c r="B16" s="1" t="s">
        <v>9</v>
      </c>
      <c r="C16" s="1">
        <v>4</v>
      </c>
      <c r="D16" s="10">
        <v>420</v>
      </c>
      <c r="E16" s="10">
        <f t="shared" si="1"/>
        <v>1680</v>
      </c>
      <c r="F16" s="2"/>
      <c r="H16" s="4" t="s">
        <v>12</v>
      </c>
      <c r="I16" s="1" t="s">
        <v>9</v>
      </c>
      <c r="J16" s="1">
        <v>4</v>
      </c>
      <c r="K16" s="10">
        <v>420</v>
      </c>
      <c r="L16" s="10">
        <f t="shared" si="2"/>
        <v>1680</v>
      </c>
      <c r="M16" s="28"/>
    </row>
    <row r="17" spans="1:13" ht="32.4" customHeight="1" x14ac:dyDescent="0.35">
      <c r="A17" s="4" t="s">
        <v>12</v>
      </c>
      <c r="B17" s="1" t="s">
        <v>8</v>
      </c>
      <c r="C17" s="1">
        <v>4</v>
      </c>
      <c r="D17" s="10">
        <v>489.99999999999994</v>
      </c>
      <c r="E17" s="10">
        <f t="shared" si="1"/>
        <v>1959.9999999999998</v>
      </c>
      <c r="F17" s="2"/>
      <c r="H17" s="4" t="s">
        <v>12</v>
      </c>
      <c r="I17" s="1" t="s">
        <v>8</v>
      </c>
      <c r="J17" s="1">
        <v>4</v>
      </c>
      <c r="K17" s="10">
        <v>489.99999999999994</v>
      </c>
      <c r="L17" s="10">
        <f t="shared" si="2"/>
        <v>1959.9999999999998</v>
      </c>
      <c r="M17" s="28"/>
    </row>
    <row r="18" spans="1:13" ht="32.4" customHeight="1" x14ac:dyDescent="0.35">
      <c r="A18" s="4" t="s">
        <v>12</v>
      </c>
      <c r="B18" s="1" t="s">
        <v>11</v>
      </c>
      <c r="C18" s="1">
        <v>6</v>
      </c>
      <c r="D18" s="10">
        <v>2100</v>
      </c>
      <c r="E18" s="10">
        <f t="shared" si="1"/>
        <v>12600</v>
      </c>
      <c r="F18" s="2"/>
      <c r="H18" s="4" t="s">
        <v>12</v>
      </c>
      <c r="I18" s="1" t="s">
        <v>11</v>
      </c>
      <c r="J18" s="1">
        <v>6</v>
      </c>
      <c r="K18" s="10">
        <v>2100</v>
      </c>
      <c r="L18" s="10">
        <f t="shared" si="2"/>
        <v>12600</v>
      </c>
      <c r="M18" s="28"/>
    </row>
    <row r="19" spans="1:13" ht="32.4" customHeight="1" x14ac:dyDescent="0.35">
      <c r="A19" s="4" t="s">
        <v>12</v>
      </c>
      <c r="B19" s="1" t="s">
        <v>15</v>
      </c>
      <c r="C19" s="1">
        <v>1000</v>
      </c>
      <c r="D19" s="10">
        <v>1.8</v>
      </c>
      <c r="E19" s="10">
        <f t="shared" si="1"/>
        <v>1800</v>
      </c>
      <c r="F19" s="2"/>
      <c r="H19" s="4" t="s">
        <v>12</v>
      </c>
      <c r="I19" s="1" t="s">
        <v>15</v>
      </c>
      <c r="J19" s="1">
        <v>1000</v>
      </c>
      <c r="K19" s="10">
        <v>1.8</v>
      </c>
      <c r="L19" s="10">
        <f t="shared" si="2"/>
        <v>1800</v>
      </c>
      <c r="M19" s="28"/>
    </row>
    <row r="20" spans="1:13" ht="32.4" customHeight="1" thickBot="1" x14ac:dyDescent="0.4">
      <c r="A20" s="5" t="s">
        <v>12</v>
      </c>
      <c r="B20" s="6" t="s">
        <v>17</v>
      </c>
      <c r="C20" s="6">
        <v>20</v>
      </c>
      <c r="D20" s="23">
        <v>419.90000000000003</v>
      </c>
      <c r="E20" s="23">
        <f t="shared" si="1"/>
        <v>8398</v>
      </c>
      <c r="F20" s="7"/>
      <c r="H20" s="5" t="s">
        <v>12</v>
      </c>
      <c r="I20" s="6" t="s">
        <v>18</v>
      </c>
      <c r="J20" s="6">
        <v>20</v>
      </c>
      <c r="K20" s="23">
        <v>770.9</v>
      </c>
      <c r="L20" s="23">
        <f t="shared" si="2"/>
        <v>15418</v>
      </c>
      <c r="M20" s="29"/>
    </row>
    <row r="21" spans="1:13" ht="15" thickBot="1" x14ac:dyDescent="0.4">
      <c r="A21" s="8"/>
      <c r="B21" s="8"/>
      <c r="C21" s="8"/>
      <c r="D21" s="9"/>
      <c r="E21" s="17">
        <f>SUM(E14:E20)</f>
        <v>97998</v>
      </c>
      <c r="F21" s="8"/>
      <c r="K21" s="3"/>
      <c r="L21" s="25">
        <f>SUM(L14:L20)</f>
        <v>105018</v>
      </c>
    </row>
    <row r="22" spans="1:13" x14ac:dyDescent="0.35">
      <c r="D22" s="19" t="s">
        <v>20</v>
      </c>
      <c r="E22" s="19">
        <v>14000</v>
      </c>
    </row>
    <row r="23" spans="1:13" x14ac:dyDescent="0.35">
      <c r="D23" s="19" t="s">
        <v>21</v>
      </c>
      <c r="E23" s="19">
        <v>96000</v>
      </c>
    </row>
    <row r="24" spans="1:13" x14ac:dyDescent="0.35">
      <c r="E24" s="34">
        <f>SUM(E21:E23)</f>
        <v>207998</v>
      </c>
    </row>
  </sheetData>
  <mergeCells count="1">
    <mergeCell ref="F6: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</dc:creator>
  <cp:lastModifiedBy>Ash K</cp:lastModifiedBy>
  <dcterms:created xsi:type="dcterms:W3CDTF">2015-06-05T18:17:20Z</dcterms:created>
  <dcterms:modified xsi:type="dcterms:W3CDTF">2026-03-02T10:37:00Z</dcterms:modified>
</cp:coreProperties>
</file>